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📊 Análisis Financiero" sheetId="1" state="visible" r:id="rId3"/>
    <sheet name="📉 Dashboard Visual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<sst xmlns="http://schemas.openxmlformats.org/spreadsheetml/2006/main" count="128" uniqueCount="117">
  <si>
    <t xml:space="preserve">SGC AGRO  |  ANÁLISIS FINANCIERO PARA INVERSIÓN</t>
  </si>
  <si>
    <t xml:space="preserve">Sistema de Gestión de Contratos Inteligente  |  Presentación Shark Tank</t>
  </si>
  <si>
    <t xml:space="preserve">  📌  SUPUESTOS DEL MODELO</t>
  </si>
  <si>
    <t xml:space="preserve">Parámetro</t>
  </si>
  <si>
    <t xml:space="preserve">Valor</t>
  </si>
  <si>
    <t xml:space="preserve">Notas</t>
  </si>
  <si>
    <t xml:space="preserve">Tasa de Descuento (WACC)</t>
  </si>
  <si>
    <t xml:space="preserve">Costo promedio ponderado de capital</t>
  </si>
  <si>
    <t xml:space="preserve">Crecimiento Ingresos Año 1→5</t>
  </si>
  <si>
    <t xml:space="preserve">Incremento anual en suscripciones</t>
  </si>
  <si>
    <t xml:space="preserve">Contratos gestionados (Año 1)</t>
  </si>
  <si>
    <t xml:space="preserve">Contratos del Ministerio en cartera</t>
  </si>
  <si>
    <t xml:space="preserve">Precio suscripción SaaS/año</t>
  </si>
  <si>
    <t xml:space="preserve">COP por entidad / año</t>
  </si>
  <si>
    <t xml:space="preserve">Tasa de retención clientes</t>
  </si>
  <si>
    <t xml:space="preserve">% clientes que renuevan anualmente</t>
  </si>
  <si>
    <t xml:space="preserve">Impuesto de renta (Colombia)</t>
  </si>
  <si>
    <t xml:space="preserve">Tarifa general Ley 2277 de 2022</t>
  </si>
  <si>
    <t xml:space="preserve">  💰  ESTRUCTURA DE INVERSIÓN (CapEx Año 0)</t>
  </si>
  <si>
    <t xml:space="preserve">Componente</t>
  </si>
  <si>
    <t xml:space="preserve">Monto (COP)</t>
  </si>
  <si>
    <t xml:space="preserve">%</t>
  </si>
  <si>
    <t xml:space="preserve">Justificación</t>
  </si>
  <si>
    <t xml:space="preserve">Desarrollo plataforma web (Frontend)</t>
  </si>
  <si>
    <t xml:space="preserve">Interfaz de carga y dashboard de contratos</t>
  </si>
  <si>
    <t xml:space="preserve">Infraestructura n8n + Base de Datos</t>
  </si>
  <si>
    <t xml:space="preserve">Servidor cloud, licencias, configuración</t>
  </si>
  <si>
    <t xml:space="preserve">Integración IA / NLP (embeddings)</t>
  </si>
  <si>
    <t xml:space="preserve">Motor de consultas semánticas</t>
  </si>
  <si>
    <t xml:space="preserve">Seguridad &amp; Cumplimiento (ISO 27001)</t>
  </si>
  <si>
    <t xml:space="preserve">Encriptación, auditoría, certificación</t>
  </si>
  <si>
    <t xml:space="preserve">Capacitación &amp; Change Management</t>
  </si>
  <si>
    <t xml:space="preserve">Entrenamiento equipo Ministerio</t>
  </si>
  <si>
    <t xml:space="preserve">Contingencia (10%)</t>
  </si>
  <si>
    <t xml:space="preserve">Reserva para imprevistos del proyecto</t>
  </si>
  <si>
    <t xml:space="preserve">INVERSIÓN TOTAL REQUERIDA</t>
  </si>
  <si>
    <t xml:space="preserve">100%</t>
  </si>
  <si>
    <t xml:space="preserve">  📈  PROYECCIÓN FINANCIERA A 5 AÑOS (COP)</t>
  </si>
  <si>
    <t xml:space="preserve">Concepto</t>
  </si>
  <si>
    <t xml:space="preserve">Año 0</t>
  </si>
  <si>
    <t xml:space="preserve">Año 1</t>
  </si>
  <si>
    <t xml:space="preserve">Año 2</t>
  </si>
  <si>
    <t xml:space="preserve">Año 3</t>
  </si>
  <si>
    <t xml:space="preserve">Año 4</t>
  </si>
  <si>
    <t xml:space="preserve">Año 5</t>
  </si>
  <si>
    <t xml:space="preserve">Ingresos por Suscripciones</t>
  </si>
  <si>
    <t xml:space="preserve">Costos Operativos (OpEx)</t>
  </si>
  <si>
    <t xml:space="preserve">Inversión Inicial (CapEx)</t>
  </si>
  <si>
    <t xml:space="preserve">-</t>
  </si>
  <si>
    <t xml:space="preserve">EBITDA</t>
  </si>
  <si>
    <t xml:space="preserve">Impuesto de Renta (35%)</t>
  </si>
  <si>
    <t xml:space="preserve">Flujo de Caja Libre (FCF)</t>
  </si>
  <si>
    <t xml:space="preserve">  🎯  MÉTRICAS CLAVE DE DECISIÓN</t>
  </si>
  <si>
    <t xml:space="preserve">VPN (Valor Presente Neto)</t>
  </si>
  <si>
    <t xml:space="preserve">VPN &gt; 0 → El proyecto crea valor. Inversión recomendada.</t>
  </si>
  <si>
    <t xml:space="preserve">TIR (Tasa Interna de Retorno)</t>
  </si>
  <si>
    <t xml:space="preserve">TIR &gt; WACC (12%) → El proyecto supera el costo del capital.</t>
  </si>
  <si>
    <t xml:space="preserve">Período de Recuperación (Payback)</t>
  </si>
  <si>
    <t xml:space="preserve">Tiempo estimado para recuperar la inversión inicial.</t>
  </si>
  <si>
    <t xml:space="preserve">ROI (Retorno sobre la Inversión)</t>
  </si>
  <si>
    <t xml:space="preserve">% de retorno sobre cada peso invertido (valor presente).</t>
  </si>
  <si>
    <t xml:space="preserve">Margen EBITDA (Año 5)</t>
  </si>
  <si>
    <t xml:space="preserve">Eficiencia operativa proyectada al quinto año.</t>
  </si>
  <si>
    <t xml:space="preserve">  🦈  PROPUESTA PARA EL TIBURÓN</t>
  </si>
  <si>
    <t xml:space="preserve">Buscamos</t>
  </si>
  <si>
    <t xml:space="preserve">Inversión para desarrollo e implementación del MVP</t>
  </si>
  <si>
    <t xml:space="preserve">Equity ofrecido</t>
  </si>
  <si>
    <t xml:space="preserve">20%</t>
  </si>
  <si>
    <t xml:space="preserve">Participación accionaria para el/los inversor(es)</t>
  </si>
  <si>
    <t xml:space="preserve">Valoración implícita</t>
  </si>
  <si>
    <t xml:space="preserve">Valuación pre-money del proyecto SGC Agro</t>
  </si>
  <si>
    <t xml:space="preserve">Mercado objetivo</t>
  </si>
  <si>
    <t xml:space="preserve">Entidades públicas Col.</t>
  </si>
  <si>
    <t xml:space="preserve">Ministerios, alcaldías, gobernaciones (~1,200 entidades)</t>
  </si>
  <si>
    <t xml:space="preserve">Diferenciador clave</t>
  </si>
  <si>
    <t xml:space="preserve">IA + n8n + NLP</t>
  </si>
  <si>
    <t xml:space="preserve">Único sistema RAG especializado en contratos públicos</t>
  </si>
  <si>
    <t xml:space="preserve">⚡ Azul = inputs modificables  |  Negro = fórmulas  |  Fuente: Documento de proyecto SGC Agro – Ministerio de Agricultura</t>
  </si>
  <si>
    <t xml:space="preserve">SGC AGRO  |  DASHBOARD EJECUTIVO</t>
  </si>
  <si>
    <t xml:space="preserve">Resumen visual para presentación Shark Tank</t>
  </si>
  <si>
    <t xml:space="preserve">  📊  INDICADORES CLAVE</t>
  </si>
  <si>
    <t xml:space="preserve">VPN del Proyecto</t>
  </si>
  <si>
    <t xml:space="preserve">TIR Esperada</t>
  </si>
  <si>
    <t xml:space="preserve">Payback</t>
  </si>
  <si>
    <t xml:space="preserve">ROI Total</t>
  </si>
  <si>
    <t xml:space="preserve">Inversión Req.</t>
  </si>
  <si>
    <t xml:space="preserve">Margen EBITDA Año 5</t>
  </si>
  <si>
    <t xml:space="preserve">  💵  FLUJOS DE CAJA RESUMIDOS</t>
  </si>
  <si>
    <t xml:space="preserve">Ingresos</t>
  </si>
  <si>
    <t xml:space="preserve">OpEx</t>
  </si>
  <si>
    <t xml:space="preserve">Flujo de Caja Libre</t>
  </si>
  <si>
    <t xml:space="preserve">  ⚡  IMPACTO OPERACIONAL: AS-IS vs TO-BE</t>
  </si>
  <si>
    <t xml:space="preserve">Dimensión</t>
  </si>
  <si>
    <t xml:space="preserve">AS-IS (Excel Manual)</t>
  </si>
  <si>
    <t xml:space="preserve">TO-BE (SGC Agro IA)</t>
  </si>
  <si>
    <t xml:space="preserve">Mejora</t>
  </si>
  <si>
    <t xml:space="preserve">Registro de contrato</t>
  </si>
  <si>
    <t xml:space="preserve">20-40 min / manual</t>
  </si>
  <si>
    <t xml:space="preserve">&lt; 2 min / automático</t>
  </si>
  <si>
    <t xml:space="preserve">↓ 95% tiempo</t>
  </si>
  <si>
    <t xml:space="preserve">Búsqueda de cláusulas</t>
  </si>
  <si>
    <t xml:space="preserve">15-30 min búsqueda</t>
  </si>
  <si>
    <t xml:space="preserve">&lt; 10 seg (NLP)</t>
  </si>
  <si>
    <t xml:space="preserve">↓ 99% tiempo</t>
  </si>
  <si>
    <t xml:space="preserve">Alertas de vencimiento</t>
  </si>
  <si>
    <t xml:space="preserve">Revisión humana ad-hoc</t>
  </si>
  <si>
    <t xml:space="preserve">Automática (30 días)</t>
  </si>
  <si>
    <t xml:space="preserve">100% cobertura</t>
  </si>
  <si>
    <t xml:space="preserve">Errores de datos</t>
  </si>
  <si>
    <t xml:space="preserve">Frecuentes (Excel libre)</t>
  </si>
  <si>
    <t xml:space="preserve">Mínimos (BD protegida)</t>
  </si>
  <si>
    <t xml:space="preserve">↓ 95% errores</t>
  </si>
  <si>
    <t xml:space="preserve">Costo por contrato</t>
  </si>
  <si>
    <t xml:space="preserve">~$180,000 COP/hora</t>
  </si>
  <si>
    <t xml:space="preserve">~$36,000 COP/hora</t>
  </si>
  <si>
    <t xml:space="preserve">↓ 80% costo</t>
  </si>
  <si>
    <t xml:space="preserve">⚡ Dashboard vinculado dinámicamente con la hoja de análisis  |  Modifica los supuestos en azul para ver el impacto en tiempo real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</si>
</sst>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%"/>
    <numFmt numFmtId="166" formatCode="#,##0"/>
    <numFmt numFmtId="167" formatCode="#,##0;\(#,##0\);\-"/>
    <numFmt numFmtId="168" formatCode="0.0&quot; años&quot;"/>
  </numFmts>
  <fonts count="3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Calibri"/>
      <family val="0"/>
      <charset val="1"/>
    </font>
    <font>
      <sz val="10"/>
      <color rgb="FF94A3B8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sz val="10"/>
      <color rgb="FF0F172A"/>
      <name val="Calibri"/>
      <family val="0"/>
      <charset val="1"/>
    </font>
    <font>
      <sz val="10"/>
      <color rgb="FF0000FF"/>
      <name val="Calibri"/>
      <family val="0"/>
      <charset val="1"/>
    </font>
    <font>
      <i val="true"/>
      <sz val="9"/>
      <color rgb="FF64748B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10"/>
      <color rgb="FFF59E0B"/>
      <name val="Calibri"/>
      <family val="0"/>
      <charset val="1"/>
    </font>
    <font>
      <b val="true"/>
      <sz val="10"/>
      <color rgb="FF0F172A"/>
      <name val="Calibri"/>
      <family val="0"/>
      <charset val="1"/>
    </font>
    <font>
      <b val="true"/>
      <sz val="11"/>
      <color rgb="FF166534"/>
      <name val="Calibri"/>
      <family val="0"/>
      <charset val="1"/>
    </font>
    <font>
      <i val="true"/>
      <sz val="9"/>
      <color rgb="FF166534"/>
      <name val="Calibri"/>
      <family val="0"/>
      <charset val="1"/>
    </font>
    <font>
      <b val="true"/>
      <sz val="11"/>
      <color rgb="FF0F172A"/>
      <name val="Calibri"/>
      <family val="0"/>
      <charset val="1"/>
    </font>
    <font>
      <b val="true"/>
      <sz val="10"/>
      <color rgb="FF1B3A6B"/>
      <name val="Calibri"/>
      <family val="0"/>
      <charset val="1"/>
    </font>
    <font>
      <i val="true"/>
      <sz val="8"/>
      <color rgb="FF94A3B8"/>
      <name val="Calibri"/>
      <family val="0"/>
      <charset val="1"/>
    </font>
    <font>
      <sz val="8"/>
      <color rgb="FF64748B"/>
      <name val="Calibri"/>
      <family val="0"/>
      <charset val="1"/>
    </font>
    <font>
      <b val="true"/>
      <sz val="16"/>
      <color rgb="FF166534"/>
      <name val="Calibri"/>
      <family val="0"/>
      <charset val="1"/>
    </font>
    <font>
      <b val="true"/>
      <sz val="16"/>
      <color rgb="FF2563EB"/>
      <name val="Calibri"/>
      <family val="0"/>
      <charset val="1"/>
    </font>
    <font>
      <b val="true"/>
      <sz val="16"/>
      <color rgb="FF1B3A6B"/>
      <name val="Calibri"/>
      <family val="0"/>
      <charset val="1"/>
    </font>
    <font>
      <b val="true"/>
      <sz val="16"/>
      <color rgb="FF991B1B"/>
      <name val="Calibri"/>
      <family val="0"/>
      <charset val="1"/>
    </font>
    <font>
      <sz val="9"/>
      <color rgb="FF991B1B"/>
      <name val="Calibri"/>
      <family val="0"/>
      <charset val="1"/>
    </font>
    <font>
      <sz val="9"/>
      <color rgb="FF166534"/>
      <name val="Calibri"/>
      <family val="0"/>
      <charset val="1"/>
    </font>
    <font>
      <b val="true"/>
      <sz val="10"/>
      <color rgb="FF2563EB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0A1628"/>
        <bgColor rgb="FF0F172A"/>
      </patternFill>
    </fill>
    <fill>
      <patternFill patternType="solid">
        <fgColor rgb="FF1B3A6B"/>
        <bgColor rgb="FF333399"/>
      </patternFill>
    </fill>
    <fill>
      <patternFill patternType="solid">
        <fgColor rgb="FF2563EB"/>
        <bgColor rgb="FF0066CC"/>
      </patternFill>
    </fill>
    <fill>
      <patternFill patternType="solid">
        <fgColor rgb="FFF8FAFC"/>
        <bgColor rgb="FFF9F9F9"/>
      </patternFill>
    </fill>
    <fill>
      <patternFill patternType="solid">
        <fgColor rgb="FFDBEAFE"/>
        <bgColor rgb="FFDCFCE7"/>
      </patternFill>
    </fill>
    <fill>
      <patternFill patternType="solid">
        <fgColor rgb="FFFFFFFF"/>
        <bgColor rgb="FFF8FAFC"/>
      </patternFill>
    </fill>
    <fill>
      <patternFill patternType="solid">
        <fgColor rgb="FFDCFCE7"/>
        <bgColor rgb="FFDBEAFE"/>
      </patternFill>
    </fill>
    <fill>
      <patternFill patternType="solid">
        <fgColor rgb="FFFEE2E2"/>
        <bgColor rgb="FFF9F9F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 diagonalUp="false" diagonalDown="false">
      <left style="thin">
        <color rgb="FFCBD5E1"/>
      </left>
      <right/>
      <top style="thin">
        <color rgb="FFCBD5E1"/>
      </top>
      <bottom style="thin">
        <color rgb="FFCBD5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7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0" fillId="7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12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7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7" fontId="9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8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7" fontId="11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2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8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14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8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6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5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7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13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0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1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8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22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0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3" fillId="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9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7" fontId="8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9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7" fontId="8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7" fontId="8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4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66534"/>
      <rgbColor rgb="FF000080"/>
      <rgbColor rgb="FF808000"/>
      <rgbColor rgb="FF800080"/>
      <rgbColor rgb="FF008080"/>
      <rgbColor rgb="FFD9D9D9"/>
      <rgbColor rgb="FF878787"/>
      <rgbColor rgb="FF9999FF"/>
      <rgbColor rgb="FFC0504D"/>
      <rgbColor rgb="FFF9F9F9"/>
      <rgbColor rgb="FFDCFCE7"/>
      <rgbColor rgb="FF660066"/>
      <rgbColor rgb="FFF79646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BEAFE"/>
      <rgbColor rgb="FFF8FAFC"/>
      <rgbColor rgb="FFFFFF99"/>
      <rgbColor rgb="FF99CCFF"/>
      <rgbColor rgb="FFFF99CC"/>
      <rgbColor rgb="FFCC99FF"/>
      <rgbColor rgb="FFFEE2E2"/>
      <rgbColor rgb="FF2563EB"/>
      <rgbColor rgb="FF4BACC6"/>
      <rgbColor rgb="FF9BBB59"/>
      <rgbColor rgb="FFFFCC00"/>
      <rgbColor rgb="FFF59E0B"/>
      <rgbColor rgb="FFFF6600"/>
      <rgbColor rgb="FF64748B"/>
      <rgbColor rgb="FF94A3B8"/>
      <rgbColor rgb="FF1B3A6B"/>
      <rgbColor rgb="FF4F81BD"/>
      <rgbColor rgb="FF0A1628"/>
      <rgbColor rgb="FF333300"/>
      <rgbColor rgb="FF991B1B"/>
      <rgbColor rgb="FF8064A2"/>
      <rgbColor rgb="FF333399"/>
      <rgbColor rgb="FF0F172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Flujo de Caja Libre por Año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'📉 Dashboard Visual'!$B$20:$G$20</c:f>
              <c:strCache>
                <c:ptCount val="6"/>
                <c:pt idx="0">
                  <c:v>-</c:v>
                </c:pt>
                <c:pt idx="1">
                  <c:v>810,000,000</c:v>
                </c:pt>
                <c:pt idx="2">
                  <c:v>850,500,000</c:v>
                </c:pt>
                <c:pt idx="3">
                  <c:v>893,025,000</c:v>
                </c:pt>
                <c:pt idx="4">
                  <c:v>937,676,250</c:v>
                </c:pt>
                <c:pt idx="5">
                  <c:v>984,560,063</c:v>
                </c:pt>
              </c:strCache>
            </c:strRef>
          </c:cat>
          <c:val>
            <c:numRef>
              <c:f>'📉 Dashboard Visual'!$B$23</c:f>
              <c:numCache>
                <c:formatCode>#,##0;\(#,##0\);\-</c:formatCode>
                <c:ptCount val="1"/>
                <c:pt idx="0">
                  <c:v>-74800000</c:v>
                </c:pt>
              </c:numCache>
            </c:numRef>
          </c:val>
        </c:ser>
        <c:ser>
          <c:idx val="1"/>
          <c:order val="1"/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'📉 Dashboard Visual'!$B$20:$G$20</c:f>
              <c:strCache>
                <c:ptCount val="6"/>
                <c:pt idx="0">
                  <c:v>-</c:v>
                </c:pt>
                <c:pt idx="1">
                  <c:v>810,000,000</c:v>
                </c:pt>
                <c:pt idx="2">
                  <c:v>850,500,000</c:v>
                </c:pt>
                <c:pt idx="3">
                  <c:v>893,025,000</c:v>
                </c:pt>
                <c:pt idx="4">
                  <c:v>937,676,250</c:v>
                </c:pt>
                <c:pt idx="5">
                  <c:v>984,560,063</c:v>
                </c:pt>
              </c:strCache>
            </c:strRef>
          </c:cat>
          <c:val>
            <c:numRef>
              <c:f>'📉 Dashboard Visual'!$C$23</c:f>
              <c:numCache>
                <c:formatCode>#,##0;\(#,##0\);\-</c:formatCode>
                <c:ptCount val="1"/>
                <c:pt idx="0">
                  <c:v>526500000</c:v>
                </c:pt>
              </c:numCache>
            </c:numRef>
          </c:val>
        </c:ser>
        <c:ser>
          <c:idx val="2"/>
          <c:order val="2"/>
          <c:spPr>
            <a:solidFill>
              <a:srgbClr val="9bbb59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'📉 Dashboard Visual'!$B$20:$G$20</c:f>
              <c:strCache>
                <c:ptCount val="6"/>
                <c:pt idx="0">
                  <c:v>-</c:v>
                </c:pt>
                <c:pt idx="1">
                  <c:v>810,000,000</c:v>
                </c:pt>
                <c:pt idx="2">
                  <c:v>850,500,000</c:v>
                </c:pt>
                <c:pt idx="3">
                  <c:v>893,025,000</c:v>
                </c:pt>
                <c:pt idx="4">
                  <c:v>937,676,250</c:v>
                </c:pt>
                <c:pt idx="5">
                  <c:v>984,560,063</c:v>
                </c:pt>
              </c:strCache>
            </c:strRef>
          </c:cat>
          <c:val>
            <c:numRef>
              <c:f>'📉 Dashboard Visual'!$D$23</c:f>
              <c:numCache>
                <c:formatCode>#,##0;\(#,##0\);\-</c:formatCode>
                <c:ptCount val="1"/>
                <c:pt idx="0">
                  <c:v>552825000</c:v>
                </c:pt>
              </c:numCache>
            </c:numRef>
          </c:val>
        </c:ser>
        <c:ser>
          <c:idx val="3"/>
          <c:order val="3"/>
          <c:spPr>
            <a:solidFill>
              <a:srgbClr val="8064a2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'📉 Dashboard Visual'!$B$20:$G$20</c:f>
              <c:strCache>
                <c:ptCount val="6"/>
                <c:pt idx="0">
                  <c:v>-</c:v>
                </c:pt>
                <c:pt idx="1">
                  <c:v>810,000,000</c:v>
                </c:pt>
                <c:pt idx="2">
                  <c:v>850,500,000</c:v>
                </c:pt>
                <c:pt idx="3">
                  <c:v>893,025,000</c:v>
                </c:pt>
                <c:pt idx="4">
                  <c:v>937,676,250</c:v>
                </c:pt>
                <c:pt idx="5">
                  <c:v>984,560,063</c:v>
                </c:pt>
              </c:strCache>
            </c:strRef>
          </c:cat>
          <c:val>
            <c:numRef>
              <c:f>'📉 Dashboard Visual'!$E$23</c:f>
              <c:numCache>
                <c:formatCode>#,##0;\(#,##0\);\-</c:formatCode>
                <c:ptCount val="1"/>
                <c:pt idx="0">
                  <c:v>580466250</c:v>
                </c:pt>
              </c:numCache>
            </c:numRef>
          </c:val>
        </c:ser>
        <c:ser>
          <c:idx val="4"/>
          <c:order val="4"/>
          <c:spPr>
            <a:solidFill>
              <a:srgbClr val="4bacc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'📉 Dashboard Visual'!$B$20:$G$20</c:f>
              <c:strCache>
                <c:ptCount val="6"/>
                <c:pt idx="0">
                  <c:v>-</c:v>
                </c:pt>
                <c:pt idx="1">
                  <c:v>810,000,000</c:v>
                </c:pt>
                <c:pt idx="2">
                  <c:v>850,500,000</c:v>
                </c:pt>
                <c:pt idx="3">
                  <c:v>893,025,000</c:v>
                </c:pt>
                <c:pt idx="4">
                  <c:v>937,676,250</c:v>
                </c:pt>
                <c:pt idx="5">
                  <c:v>984,560,063</c:v>
                </c:pt>
              </c:strCache>
            </c:strRef>
          </c:cat>
          <c:val>
            <c:numRef>
              <c:f>'📉 Dashboard Visual'!$F$23</c:f>
              <c:numCache>
                <c:formatCode>#,##0;\(#,##0\);\-</c:formatCode>
                <c:ptCount val="1"/>
                <c:pt idx="0">
                  <c:v>609489562.5</c:v>
                </c:pt>
              </c:numCache>
            </c:numRef>
          </c:val>
        </c:ser>
        <c:ser>
          <c:idx val="5"/>
          <c:order val="5"/>
          <c:spPr>
            <a:solidFill>
              <a:srgbClr val="f7964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'📉 Dashboard Visual'!$B$20:$G$20</c:f>
              <c:strCache>
                <c:ptCount val="6"/>
                <c:pt idx="0">
                  <c:v>-</c:v>
                </c:pt>
                <c:pt idx="1">
                  <c:v>810,000,000</c:v>
                </c:pt>
                <c:pt idx="2">
                  <c:v>850,500,000</c:v>
                </c:pt>
                <c:pt idx="3">
                  <c:v>893,025,000</c:v>
                </c:pt>
                <c:pt idx="4">
                  <c:v>937,676,250</c:v>
                </c:pt>
                <c:pt idx="5">
                  <c:v>984,560,063</c:v>
                </c:pt>
              </c:strCache>
            </c:strRef>
          </c:cat>
          <c:val>
            <c:numRef>
              <c:f>'📉 Dashboard Visual'!$G$23</c:f>
              <c:numCache>
                <c:formatCode>#,##0;\(#,##0\);\-</c:formatCode>
                <c:ptCount val="1"/>
                <c:pt idx="0">
                  <c:v>639964040.625</c:v>
                </c:pt>
              </c:numCache>
            </c:numRef>
          </c:val>
        </c:ser>
        <c:gapWidth val="150"/>
        <c:overlap val="0"/>
        <c:axId val="8230550"/>
        <c:axId val="52371655"/>
      </c:barChart>
      <c:catAx>
        <c:axId val="823055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Período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;\(#,##0\);\-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2371655"/>
        <c:crosses val="autoZero"/>
        <c:auto val="1"/>
        <c:lblAlgn val="ctr"/>
        <c:lblOffset val="100"/>
        <c:noMultiLvlLbl val="0"/>
      </c:catAx>
      <c:valAx>
        <c:axId val="5237165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COP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;\(#,##0\);\-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23055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25</xdr:row>
      <xdr:rowOff>0</xdr:rowOff>
    </xdr:from>
    <xdr:to>
      <xdr:col>5</xdr:col>
      <xdr:colOff>150480</xdr:colOff>
      <xdr:row>47</xdr:row>
      <xdr:rowOff>127800</xdr:rowOff>
    </xdr:to>
    <xdr:graphicFrame>
      <xdr:nvGraphicFramePr>
        <xdr:cNvPr id="0" name="Chart 1"/>
        <xdr:cNvGraphicFramePr/>
      </xdr:nvGraphicFramePr>
      <xdr:xfrm>
        <a:off x="0" y="5286240"/>
        <a:ext cx="7198920" cy="431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7" min="2" style="1" width="18"/>
  </cols>
  <sheetData>
    <row r="1" customFormat="false" ht="36" hidden="false" customHeight="true" outlineLevel="0" collapsed="false">
      <c r="A1" s="2" t="s">
        <v>0</v>
      </c>
      <c r="B1" s="2"/>
      <c r="C1" s="2"/>
      <c r="D1" s="2"/>
      <c r="E1" s="2"/>
      <c r="F1" s="2"/>
      <c r="G1" s="2"/>
    </row>
    <row r="2" customFormat="false" ht="19.5" hidden="false" customHeight="true" outlineLevel="0" collapsed="false">
      <c r="A2" s="3" t="s">
        <v>1</v>
      </c>
      <c r="B2" s="3"/>
      <c r="C2" s="3"/>
      <c r="D2" s="3"/>
      <c r="E2" s="3"/>
      <c r="F2" s="3"/>
      <c r="G2" s="3"/>
    </row>
    <row r="3" customFormat="false" ht="18" hidden="false" customHeight="true" outlineLevel="0" collapsed="false"/>
    <row r="4" customFormat="false" ht="21.75" hidden="false" customHeight="true" outlineLevel="0" collapsed="false">
      <c r="A4" s="4" t="s">
        <v>2</v>
      </c>
      <c r="B4" s="4"/>
      <c r="C4" s="4"/>
      <c r="D4" s="4"/>
      <c r="E4" s="4"/>
      <c r="F4" s="4"/>
      <c r="G4" s="4"/>
    </row>
    <row r="5" customFormat="false" ht="18" hidden="false" customHeight="true" outlineLevel="0" collapsed="false">
      <c r="A5" s="5" t="s">
        <v>3</v>
      </c>
      <c r="B5" s="5" t="s">
        <v>4</v>
      </c>
      <c r="C5" s="6" t="s">
        <v>5</v>
      </c>
      <c r="D5" s="6"/>
      <c r="E5" s="6"/>
      <c r="F5" s="6"/>
      <c r="G5" s="6"/>
    </row>
    <row r="6" customFormat="false" ht="18" hidden="false" customHeight="true" outlineLevel="0" collapsed="false">
      <c r="A6" s="7" t="s">
        <v>6</v>
      </c>
      <c r="B6" s="8" t="n">
        <v>0.12</v>
      </c>
      <c r="C6" s="9" t="s">
        <v>7</v>
      </c>
      <c r="D6" s="9"/>
      <c r="E6" s="9"/>
      <c r="F6" s="9"/>
      <c r="G6" s="9"/>
    </row>
    <row r="7" customFormat="false" ht="18" hidden="false" customHeight="true" outlineLevel="0" collapsed="false">
      <c r="A7" s="10" t="s">
        <v>8</v>
      </c>
      <c r="B7" s="8" t="n">
        <v>0.05</v>
      </c>
      <c r="C7" s="11" t="s">
        <v>9</v>
      </c>
      <c r="D7" s="11"/>
      <c r="E7" s="11"/>
      <c r="F7" s="11"/>
      <c r="G7" s="11"/>
    </row>
    <row r="8" customFormat="false" ht="18" hidden="false" customHeight="true" outlineLevel="0" collapsed="false">
      <c r="A8" s="7" t="s">
        <v>10</v>
      </c>
      <c r="B8" s="12" t="n">
        <v>150</v>
      </c>
      <c r="C8" s="9" t="s">
        <v>11</v>
      </c>
      <c r="D8" s="9"/>
      <c r="E8" s="9"/>
      <c r="F8" s="9"/>
      <c r="G8" s="9"/>
    </row>
    <row r="9" customFormat="false" ht="18" hidden="false" customHeight="true" outlineLevel="0" collapsed="false">
      <c r="A9" s="10" t="s">
        <v>12</v>
      </c>
      <c r="B9" s="12" t="n">
        <v>5400000</v>
      </c>
      <c r="C9" s="11" t="s">
        <v>13</v>
      </c>
      <c r="D9" s="11"/>
      <c r="E9" s="11"/>
      <c r="F9" s="11"/>
      <c r="G9" s="11"/>
    </row>
    <row r="10" customFormat="false" ht="18" hidden="false" customHeight="true" outlineLevel="0" collapsed="false">
      <c r="A10" s="7" t="s">
        <v>14</v>
      </c>
      <c r="B10" s="8" t="n">
        <v>0.9</v>
      </c>
      <c r="C10" s="9" t="s">
        <v>15</v>
      </c>
      <c r="D10" s="9"/>
      <c r="E10" s="9"/>
      <c r="F10" s="9"/>
      <c r="G10" s="9"/>
    </row>
    <row r="11" customFormat="false" ht="18" hidden="false" customHeight="true" outlineLevel="0" collapsed="false">
      <c r="A11" s="10" t="s">
        <v>16</v>
      </c>
      <c r="B11" s="8" t="n">
        <v>0.35</v>
      </c>
      <c r="C11" s="11" t="s">
        <v>17</v>
      </c>
      <c r="D11" s="11"/>
      <c r="E11" s="11"/>
      <c r="F11" s="11"/>
      <c r="G11" s="11"/>
    </row>
    <row r="12" customFormat="false" ht="18" hidden="false" customHeight="true" outlineLevel="0" collapsed="false"/>
    <row r="13" customFormat="false" ht="21.75" hidden="false" customHeight="true" outlineLevel="0" collapsed="false">
      <c r="A13" s="4" t="s">
        <v>18</v>
      </c>
      <c r="B13" s="4"/>
      <c r="C13" s="4"/>
      <c r="D13" s="4"/>
      <c r="E13" s="4"/>
      <c r="F13" s="4"/>
      <c r="G13" s="4"/>
    </row>
    <row r="14" customFormat="false" ht="18" hidden="false" customHeight="true" outlineLevel="0" collapsed="false">
      <c r="A14" s="5" t="s">
        <v>19</v>
      </c>
      <c r="B14" s="5" t="s">
        <v>20</v>
      </c>
      <c r="C14" s="5" t="s">
        <v>21</v>
      </c>
      <c r="D14" s="6" t="s">
        <v>22</v>
      </c>
      <c r="E14" s="6"/>
      <c r="F14" s="6"/>
      <c r="G14" s="6"/>
    </row>
    <row r="15" customFormat="false" ht="18" hidden="false" customHeight="true" outlineLevel="0" collapsed="false">
      <c r="A15" s="7" t="s">
        <v>23</v>
      </c>
      <c r="B15" s="13" t="n">
        <v>24000000</v>
      </c>
      <c r="C15" s="14" t="n">
        <f aca="false">B15/SUM(B15:B20)</f>
        <v>0.320855614973262</v>
      </c>
      <c r="D15" s="9" t="s">
        <v>24</v>
      </c>
      <c r="E15" s="9"/>
      <c r="F15" s="9"/>
      <c r="G15" s="9"/>
    </row>
    <row r="16" customFormat="false" ht="18" hidden="false" customHeight="true" outlineLevel="0" collapsed="false">
      <c r="A16" s="10" t="s">
        <v>25</v>
      </c>
      <c r="B16" s="13" t="n">
        <v>18000000</v>
      </c>
      <c r="C16" s="15" t="n">
        <f aca="false">B16/SUM(B15:B20)</f>
        <v>0.240641711229947</v>
      </c>
      <c r="D16" s="11" t="s">
        <v>26</v>
      </c>
      <c r="E16" s="11"/>
      <c r="F16" s="11"/>
      <c r="G16" s="11"/>
    </row>
    <row r="17" customFormat="false" ht="18" hidden="false" customHeight="true" outlineLevel="0" collapsed="false">
      <c r="A17" s="7" t="s">
        <v>27</v>
      </c>
      <c r="B17" s="13" t="n">
        <v>12000000</v>
      </c>
      <c r="C17" s="14" t="n">
        <f aca="false">B17/SUM(B15:B20)</f>
        <v>0.160427807486631</v>
      </c>
      <c r="D17" s="9" t="s">
        <v>28</v>
      </c>
      <c r="E17" s="9"/>
      <c r="F17" s="9"/>
      <c r="G17" s="9"/>
    </row>
    <row r="18" customFormat="false" ht="18" hidden="false" customHeight="true" outlineLevel="0" collapsed="false">
      <c r="A18" s="10" t="s">
        <v>29</v>
      </c>
      <c r="B18" s="13" t="n">
        <v>8000000</v>
      </c>
      <c r="C18" s="15" t="n">
        <f aca="false">B18/SUM(B15:B20)</f>
        <v>0.106951871657754</v>
      </c>
      <c r="D18" s="11" t="s">
        <v>30</v>
      </c>
      <c r="E18" s="11"/>
      <c r="F18" s="11"/>
      <c r="G18" s="11"/>
    </row>
    <row r="19" customFormat="false" ht="18" hidden="false" customHeight="true" outlineLevel="0" collapsed="false">
      <c r="A19" s="7" t="s">
        <v>31</v>
      </c>
      <c r="B19" s="13" t="n">
        <v>6000000</v>
      </c>
      <c r="C19" s="14" t="n">
        <f aca="false">B19/SUM(B15:B20)</f>
        <v>0.0802139037433155</v>
      </c>
      <c r="D19" s="9" t="s">
        <v>32</v>
      </c>
      <c r="E19" s="9"/>
      <c r="F19" s="9"/>
      <c r="G19" s="9"/>
    </row>
    <row r="20" customFormat="false" ht="18" hidden="false" customHeight="true" outlineLevel="0" collapsed="false">
      <c r="A20" s="10" t="s">
        <v>33</v>
      </c>
      <c r="B20" s="13" t="n">
        <v>6800000</v>
      </c>
      <c r="C20" s="15" t="n">
        <f aca="false">B20/SUM(B15:B20)</f>
        <v>0.0909090909090909</v>
      </c>
      <c r="D20" s="11" t="s">
        <v>34</v>
      </c>
      <c r="E20" s="11"/>
      <c r="F20" s="11"/>
      <c r="G20" s="11"/>
    </row>
    <row r="21" customFormat="false" ht="18" hidden="false" customHeight="true" outlineLevel="0" collapsed="false">
      <c r="A21" s="16" t="s">
        <v>35</v>
      </c>
      <c r="B21" s="17" t="n">
        <f aca="false">SUM(B15:B20)</f>
        <v>74800000</v>
      </c>
      <c r="C21" s="18" t="s">
        <v>36</v>
      </c>
      <c r="D21" s="19"/>
      <c r="E21" s="19"/>
      <c r="F21" s="19"/>
      <c r="G21" s="19"/>
    </row>
    <row r="22" customFormat="false" ht="18" hidden="false" customHeight="true" outlineLevel="0" collapsed="false"/>
    <row r="23" customFormat="false" ht="21.75" hidden="false" customHeight="true" outlineLevel="0" collapsed="false">
      <c r="A23" s="4" t="s">
        <v>37</v>
      </c>
      <c r="B23" s="4"/>
      <c r="C23" s="4"/>
      <c r="D23" s="4"/>
      <c r="E23" s="4"/>
      <c r="F23" s="4"/>
      <c r="G23" s="4"/>
    </row>
    <row r="24" customFormat="false" ht="18" hidden="false" customHeight="true" outlineLevel="0" collapsed="false">
      <c r="A24" s="20" t="s">
        <v>38</v>
      </c>
      <c r="B24" s="20" t="s">
        <v>39</v>
      </c>
      <c r="C24" s="20" t="s">
        <v>40</v>
      </c>
      <c r="D24" s="20" t="s">
        <v>41</v>
      </c>
      <c r="E24" s="20" t="s">
        <v>42</v>
      </c>
      <c r="F24" s="20" t="s">
        <v>43</v>
      </c>
      <c r="G24" s="20" t="s">
        <v>44</v>
      </c>
    </row>
    <row r="25" customFormat="false" ht="18" hidden="false" customHeight="true" outlineLevel="0" collapsed="false">
      <c r="A25" s="21" t="s">
        <v>45</v>
      </c>
      <c r="B25" s="22" t="n">
        <v>0</v>
      </c>
      <c r="C25" s="23" t="n">
        <f aca="false">B8*B9</f>
        <v>810000000</v>
      </c>
      <c r="D25" s="23" t="n">
        <f aca="false">C25*(1+B7)</f>
        <v>850500000</v>
      </c>
      <c r="E25" s="23" t="n">
        <f aca="false">D25*(1+B7)</f>
        <v>893025000</v>
      </c>
      <c r="F25" s="23" t="n">
        <f aca="false">E25*(1+B7)</f>
        <v>937676250</v>
      </c>
      <c r="G25" s="1" t="n">
        <f aca="false">F25*(1+B7)</f>
        <v>984560062.5</v>
      </c>
    </row>
    <row r="26" customFormat="false" ht="18" hidden="false" customHeight="true" outlineLevel="0" collapsed="false">
      <c r="A26" s="24" t="s">
        <v>46</v>
      </c>
      <c r="B26" s="25" t="n">
        <v>0</v>
      </c>
      <c r="C26" s="26" t="n">
        <f aca="false">B26*(1+B7)</f>
        <v>0</v>
      </c>
      <c r="D26" s="26" t="n">
        <f aca="false">C26*(1+B7)</f>
        <v>0</v>
      </c>
      <c r="E26" s="26" t="n">
        <f aca="false">D26*(1+B7)</f>
        <v>0</v>
      </c>
      <c r="F26" s="26" t="n">
        <f aca="false">E26*(1+B7)</f>
        <v>0</v>
      </c>
      <c r="G26" s="1" t="n">
        <f aca="false">F26*(1+B7)</f>
        <v>0</v>
      </c>
    </row>
    <row r="27" customFormat="false" ht="18" hidden="false" customHeight="true" outlineLevel="0" collapsed="false">
      <c r="A27" s="21" t="s">
        <v>47</v>
      </c>
      <c r="B27" s="27" t="n">
        <f aca="false">-B21</f>
        <v>-74800000</v>
      </c>
      <c r="C27" s="22" t="s">
        <v>48</v>
      </c>
      <c r="D27" s="22" t="s">
        <v>48</v>
      </c>
      <c r="E27" s="22" t="s">
        <v>48</v>
      </c>
      <c r="F27" s="22" t="s">
        <v>48</v>
      </c>
      <c r="G27" s="1" t="n">
        <v>0</v>
      </c>
    </row>
    <row r="28" customFormat="false" ht="18" hidden="false" customHeight="true" outlineLevel="0" collapsed="false">
      <c r="A28" s="28" t="s">
        <v>49</v>
      </c>
      <c r="B28" s="29" t="n">
        <f aca="false">B25+B26</f>
        <v>0</v>
      </c>
      <c r="C28" s="29" t="n">
        <f aca="false">C25+C26</f>
        <v>810000000</v>
      </c>
      <c r="D28" s="29" t="n">
        <f aca="false">D25+D26</f>
        <v>850500000</v>
      </c>
      <c r="E28" s="29" t="n">
        <f aca="false">E25+E26</f>
        <v>893025000</v>
      </c>
      <c r="F28" s="29" t="n">
        <f aca="false">F25+F26</f>
        <v>937676250</v>
      </c>
      <c r="G28" s="1" t="n">
        <f aca="false">G25+G26</f>
        <v>984560062.5</v>
      </c>
    </row>
    <row r="29" customFormat="false" ht="18" hidden="false" customHeight="true" outlineLevel="0" collapsed="false">
      <c r="A29" s="24" t="s">
        <v>50</v>
      </c>
      <c r="B29" s="26" t="n">
        <f aca="false">IF(B28&gt;0,-B28*B11,0)</f>
        <v>0</v>
      </c>
      <c r="C29" s="26" t="n">
        <f aca="false">IF(C28&gt;0,-C28*B11,0)</f>
        <v>-283500000</v>
      </c>
      <c r="D29" s="26" t="n">
        <f aca="false">IF(D28&gt;0,-D28*B11,0)</f>
        <v>-297675000</v>
      </c>
      <c r="E29" s="26" t="n">
        <f aca="false">IF(E28&gt;0,-E28*B11,0)</f>
        <v>-312558750</v>
      </c>
      <c r="F29" s="26" t="n">
        <f aca="false">IF(F28&gt;0,-F28*B11,0)</f>
        <v>-328186687.5</v>
      </c>
      <c r="G29" s="1" t="n">
        <f aca="false">IF(G28&gt;0,-G28*B11,0)</f>
        <v>-344596021.875</v>
      </c>
    </row>
    <row r="30" customFormat="false" ht="18" hidden="false" customHeight="true" outlineLevel="0" collapsed="false">
      <c r="A30" s="16" t="s">
        <v>51</v>
      </c>
      <c r="B30" s="30" t="n">
        <f aca="false">-B21</f>
        <v>-74800000</v>
      </c>
      <c r="C30" s="30" t="n">
        <f aca="false">C28+C29</f>
        <v>526500000</v>
      </c>
      <c r="D30" s="30" t="n">
        <f aca="false">D28+D29</f>
        <v>552825000</v>
      </c>
      <c r="E30" s="30" t="n">
        <f aca="false">E28+E29</f>
        <v>580466250</v>
      </c>
      <c r="F30" s="30" t="n">
        <f aca="false">F28+F29</f>
        <v>609489562.5</v>
      </c>
      <c r="G30" s="30" t="n">
        <f aca="false">G28+G29</f>
        <v>639964040.625</v>
      </c>
    </row>
    <row r="31" customFormat="false" ht="18" hidden="false" customHeight="true" outlineLevel="0" collapsed="false"/>
    <row r="32" customFormat="false" ht="21.75" hidden="false" customHeight="true" outlineLevel="0" collapsed="false">
      <c r="A32" s="4" t="s">
        <v>52</v>
      </c>
      <c r="B32" s="4"/>
      <c r="C32" s="4"/>
      <c r="D32" s="4"/>
      <c r="E32" s="4"/>
      <c r="F32" s="4"/>
      <c r="G32" s="4"/>
    </row>
    <row r="33" customFormat="false" ht="18" hidden="false" customHeight="true" outlineLevel="0" collapsed="false">
      <c r="A33" s="31" t="s">
        <v>53</v>
      </c>
      <c r="B33" s="32" t="n">
        <f aca="false">IFERROR(NPV(B6,C30:G30)+B30,0)</f>
        <v>1999636821.25636</v>
      </c>
      <c r="C33" s="33" t="s">
        <v>54</v>
      </c>
      <c r="D33" s="33"/>
      <c r="E33" s="33"/>
      <c r="F33" s="33"/>
      <c r="G33" s="33"/>
    </row>
    <row r="34" customFormat="false" ht="18" hidden="false" customHeight="true" outlineLevel="0" collapsed="false">
      <c r="A34" s="24" t="s">
        <v>55</v>
      </c>
      <c r="B34" s="34" t="n">
        <f aca="false">IFERROR(IRR(B30:G30),0)</f>
        <v>7.08851057551006</v>
      </c>
      <c r="C34" s="11" t="s">
        <v>56</v>
      </c>
      <c r="D34" s="11"/>
      <c r="E34" s="11"/>
      <c r="F34" s="11"/>
      <c r="G34" s="11"/>
    </row>
    <row r="35" customFormat="false" ht="18" hidden="false" customHeight="true" outlineLevel="0" collapsed="false">
      <c r="A35" s="21" t="s">
        <v>57</v>
      </c>
      <c r="B35" s="35" t="n">
        <f aca="false">IFERROR(ABS(B30)/AVERAGE(C30:G30),0)</f>
        <v>0.128555697055978</v>
      </c>
      <c r="C35" s="9" t="s">
        <v>58</v>
      </c>
      <c r="D35" s="9"/>
      <c r="E35" s="9"/>
      <c r="F35" s="9"/>
      <c r="G35" s="9"/>
    </row>
    <row r="36" customFormat="false" ht="18" hidden="false" customHeight="true" outlineLevel="0" collapsed="false">
      <c r="A36" s="24" t="s">
        <v>59</v>
      </c>
      <c r="B36" s="34" t="n">
        <f aca="false">IFERROR((B33-ABS(B30))/ABS(B30),0)</f>
        <v>25.7331125836412</v>
      </c>
      <c r="C36" s="11" t="s">
        <v>60</v>
      </c>
      <c r="D36" s="11"/>
      <c r="E36" s="11"/>
      <c r="F36" s="11"/>
      <c r="G36" s="11"/>
    </row>
    <row r="37" customFormat="false" ht="18" hidden="false" customHeight="true" outlineLevel="0" collapsed="false">
      <c r="A37" s="21" t="s">
        <v>61</v>
      </c>
      <c r="B37" s="36" t="n">
        <f aca="false">IFERROR(G28/G25,0)</f>
        <v>1</v>
      </c>
      <c r="C37" s="9" t="s">
        <v>62</v>
      </c>
      <c r="D37" s="9"/>
      <c r="E37" s="9"/>
      <c r="F37" s="9"/>
      <c r="G37" s="9"/>
    </row>
    <row r="38" customFormat="false" ht="18" hidden="false" customHeight="true" outlineLevel="0" collapsed="false"/>
    <row r="39" customFormat="false" ht="21.75" hidden="false" customHeight="true" outlineLevel="0" collapsed="false">
      <c r="A39" s="4" t="s">
        <v>63</v>
      </c>
      <c r="B39" s="4"/>
      <c r="C39" s="4"/>
      <c r="D39" s="4"/>
      <c r="E39" s="4"/>
      <c r="F39" s="4"/>
      <c r="G39" s="4"/>
    </row>
    <row r="40" customFormat="false" ht="18" hidden="false" customHeight="true" outlineLevel="0" collapsed="false">
      <c r="A40" s="37" t="s">
        <v>64</v>
      </c>
      <c r="B40" s="38" t="str">
        <f aca="false">"$" &amp; TEXT(B21,"#,##0") &amp; " COP en capital semilla"</f>
        <v>$74,800,000 COP en capital semilla</v>
      </c>
      <c r="C40" s="9" t="s">
        <v>65</v>
      </c>
      <c r="D40" s="9"/>
      <c r="E40" s="9"/>
      <c r="F40" s="9"/>
      <c r="G40" s="9"/>
    </row>
    <row r="41" customFormat="false" ht="18" hidden="false" customHeight="true" outlineLevel="0" collapsed="false">
      <c r="A41" s="39" t="s">
        <v>66</v>
      </c>
      <c r="B41" s="38" t="s">
        <v>67</v>
      </c>
      <c r="C41" s="11" t="s">
        <v>68</v>
      </c>
      <c r="D41" s="11"/>
      <c r="E41" s="11"/>
      <c r="F41" s="11"/>
      <c r="G41" s="11"/>
    </row>
    <row r="42" customFormat="false" ht="18" hidden="false" customHeight="true" outlineLevel="0" collapsed="false">
      <c r="A42" s="37" t="s">
        <v>69</v>
      </c>
      <c r="B42" s="40" t="n">
        <f aca="false">B21/0.2</f>
        <v>374000000</v>
      </c>
      <c r="C42" s="9" t="s">
        <v>70</v>
      </c>
      <c r="D42" s="9"/>
      <c r="E42" s="9"/>
      <c r="F42" s="9"/>
      <c r="G42" s="9"/>
    </row>
    <row r="43" customFormat="false" ht="18" hidden="false" customHeight="true" outlineLevel="0" collapsed="false">
      <c r="A43" s="39" t="s">
        <v>71</v>
      </c>
      <c r="B43" s="38" t="s">
        <v>72</v>
      </c>
      <c r="C43" s="11" t="s">
        <v>73</v>
      </c>
      <c r="D43" s="11"/>
      <c r="E43" s="11"/>
      <c r="F43" s="11"/>
      <c r="G43" s="11"/>
    </row>
    <row r="44" customFormat="false" ht="18" hidden="false" customHeight="true" outlineLevel="0" collapsed="false">
      <c r="A44" s="37" t="s">
        <v>74</v>
      </c>
      <c r="B44" s="38" t="s">
        <v>75</v>
      </c>
      <c r="C44" s="9" t="s">
        <v>76</v>
      </c>
      <c r="D44" s="9"/>
      <c r="E44" s="9"/>
      <c r="F44" s="9"/>
      <c r="G44" s="9"/>
    </row>
    <row r="45" customFormat="false" ht="18" hidden="false" customHeight="true" outlineLevel="0" collapsed="false"/>
    <row r="46" customFormat="false" ht="18" hidden="false" customHeight="true" outlineLevel="0" collapsed="false">
      <c r="A46" s="41" t="s">
        <v>77</v>
      </c>
      <c r="B46" s="41"/>
      <c r="C46" s="41"/>
      <c r="D46" s="41"/>
      <c r="E46" s="41"/>
      <c r="F46" s="41"/>
      <c r="G46" s="41"/>
    </row>
    <row r="47" customFormat="false" ht="18" hidden="false" customHeight="true" outlineLevel="0" collapsed="false"/>
    <row r="48" customFormat="false" ht="18" hidden="false" customHeight="true" outlineLevel="0" collapsed="false"/>
    <row r="49" customFormat="false" ht="18" hidden="false" customHeight="true" outlineLevel="0" collapsed="false"/>
    <row r="50" customFormat="false" ht="18" hidden="false" customHeight="true" outlineLevel="0" collapsed="false"/>
    <row r="51" customFormat="false" ht="18" hidden="false" customHeight="true" outlineLevel="0" collapsed="false"/>
    <row r="52" customFormat="false" ht="18" hidden="false" customHeight="true" outlineLevel="0" collapsed="false"/>
    <row r="53" customFormat="false" ht="18" hidden="false" customHeight="true" outlineLevel="0" collapsed="false"/>
    <row r="54" customFormat="false" ht="18" hidden="false" customHeight="true" outlineLevel="0" collapsed="false"/>
    <row r="55" customFormat="false" ht="18" hidden="false" customHeight="true" outlineLevel="0" collapsed="false"/>
    <row r="56" customFormat="false" ht="18" hidden="false" customHeight="true" outlineLevel="0" collapsed="false"/>
    <row r="57" customFormat="false" ht="18" hidden="false" customHeight="true" outlineLevel="0" collapsed="false"/>
    <row r="58" customFormat="false" ht="18" hidden="false" customHeight="true" outlineLevel="0" collapsed="false"/>
    <row r="59" customFormat="false" ht="18" hidden="false" customHeight="true" outlineLevel="0" collapsed="false"/>
    <row r="60" customFormat="false" ht="18" hidden="false" customHeight="true" outlineLevel="0" collapsed="false"/>
    <row r="61" customFormat="false" ht="18" hidden="false" customHeight="true" outlineLevel="0" collapsed="false"/>
    <row r="62" customFormat="false" ht="18" hidden="false" customHeight="true" outlineLevel="0" collapsed="false"/>
    <row r="63" customFormat="false" ht="18" hidden="false" customHeight="true" outlineLevel="0" collapsed="false"/>
    <row r="64" customFormat="false" ht="18" hidden="false" customHeight="true" outlineLevel="0" collapsed="false"/>
    <row r="65" customFormat="false" ht="18" hidden="false" customHeight="true" outlineLevel="0" collapsed="false"/>
    <row r="66" customFormat="false" ht="18" hidden="false" customHeight="true" outlineLevel="0" collapsed="false"/>
    <row r="67" customFormat="false" ht="18" hidden="false" customHeight="true" outlineLevel="0" collapsed="false"/>
    <row r="68" customFormat="false" ht="18" hidden="false" customHeight="true" outlineLevel="0" collapsed="false"/>
    <row r="69" customFormat="false" ht="18" hidden="false" customHeight="true" outlineLevel="0" collapsed="false"/>
    <row r="70" customFormat="false" ht="18" hidden="false" customHeight="true" outlineLevel="0" collapsed="false"/>
    <row r="71" customFormat="false" ht="18" hidden="false" customHeight="true" outlineLevel="0" collapsed="false"/>
    <row r="72" customFormat="false" ht="18" hidden="false" customHeight="true" outlineLevel="0" collapsed="false"/>
    <row r="73" customFormat="false" ht="18" hidden="false" customHeight="true" outlineLevel="0" collapsed="false"/>
    <row r="74" customFormat="false" ht="18" hidden="false" customHeight="true" outlineLevel="0" collapsed="false"/>
    <row r="75" customFormat="false" ht="18" hidden="false" customHeight="true" outlineLevel="0" collapsed="false"/>
    <row r="76" customFormat="false" ht="18" hidden="false" customHeight="true" outlineLevel="0" collapsed="false"/>
    <row r="77" customFormat="false" ht="18" hidden="false" customHeight="true" outlineLevel="0" collapsed="false"/>
    <row r="78" customFormat="false" ht="18" hidden="false" customHeight="true" outlineLevel="0" collapsed="false"/>
    <row r="79" customFormat="false" ht="18" hidden="false" customHeight="true" outlineLevel="0" collapsed="false"/>
    <row r="80" customFormat="false" ht="18" hidden="false" customHeight="true" outlineLevel="0" collapsed="false"/>
    <row r="81" customFormat="false" ht="18" hidden="false" customHeight="true" outlineLevel="0" collapsed="false"/>
    <row r="82" customFormat="false" ht="18" hidden="false" customHeight="true" outlineLevel="0" collapsed="false"/>
    <row r="83" customFormat="false" ht="18" hidden="false" customHeight="true" outlineLevel="0" collapsed="false"/>
    <row r="84" customFormat="false" ht="18" hidden="false" customHeight="true" outlineLevel="0" collapsed="false"/>
    <row r="85" customFormat="false" ht="18" hidden="false" customHeight="true" outlineLevel="0" collapsed="false"/>
    <row r="86" customFormat="false" ht="18" hidden="false" customHeight="true" outlineLevel="0" collapsed="false"/>
    <row r="87" customFormat="false" ht="18" hidden="false" customHeight="true" outlineLevel="0" collapsed="false"/>
    <row r="88" customFormat="false" ht="18" hidden="false" customHeight="true" outlineLevel="0" collapsed="false"/>
    <row r="89" customFormat="false" ht="18" hidden="false" customHeight="true" outlineLevel="0" collapsed="false"/>
  </sheetData>
  <mergeCells count="33">
    <mergeCell ref="A1:G1"/>
    <mergeCell ref="A2:G2"/>
    <mergeCell ref="A4:G4"/>
    <mergeCell ref="C5:G5"/>
    <mergeCell ref="C6:G6"/>
    <mergeCell ref="C7:G7"/>
    <mergeCell ref="C8:G8"/>
    <mergeCell ref="C9:G9"/>
    <mergeCell ref="C10:G10"/>
    <mergeCell ref="C11:G11"/>
    <mergeCell ref="A13:G13"/>
    <mergeCell ref="D14:G14"/>
    <mergeCell ref="D15:G15"/>
    <mergeCell ref="D16:G16"/>
    <mergeCell ref="D17:G17"/>
    <mergeCell ref="D18:G18"/>
    <mergeCell ref="D19:G19"/>
    <mergeCell ref="D20:G20"/>
    <mergeCell ref="D21:G21"/>
    <mergeCell ref="A23:G23"/>
    <mergeCell ref="A32:G32"/>
    <mergeCell ref="C33:G33"/>
    <mergeCell ref="C34:G34"/>
    <mergeCell ref="C35:G35"/>
    <mergeCell ref="C36:G36"/>
    <mergeCell ref="C37:G37"/>
    <mergeCell ref="A39:G39"/>
    <mergeCell ref="C40:G40"/>
    <mergeCell ref="C41:G41"/>
    <mergeCell ref="C42:G42"/>
    <mergeCell ref="C43:G43"/>
    <mergeCell ref="C44:G44"/>
    <mergeCell ref="A46:G4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7" min="2" style="1" width="18"/>
    <col collapsed="false" customWidth="true" hidden="false" outlineLevel="0" max="8" min="8" style="1" width="5"/>
  </cols>
  <sheetData>
    <row r="1" customFormat="false" ht="36" hidden="false" customHeight="true" outlineLevel="0" collapsed="false">
      <c r="A1" s="2" t="s">
        <v>78</v>
      </c>
      <c r="B1" s="2"/>
      <c r="C1" s="2"/>
      <c r="D1" s="2"/>
      <c r="E1" s="2"/>
      <c r="F1" s="2"/>
      <c r="G1" s="2"/>
    </row>
    <row r="2" customFormat="false" ht="19.5" hidden="false" customHeight="true" outlineLevel="0" collapsed="false">
      <c r="A2" s="3" t="s">
        <v>79</v>
      </c>
      <c r="B2" s="3"/>
      <c r="C2" s="3"/>
      <c r="D2" s="3"/>
      <c r="E2" s="3"/>
      <c r="F2" s="3"/>
      <c r="G2" s="3"/>
    </row>
    <row r="4" customFormat="false" ht="21.75" hidden="false" customHeight="true" outlineLevel="0" collapsed="false">
      <c r="A4" s="4" t="s">
        <v>80</v>
      </c>
      <c r="B4" s="4"/>
      <c r="C4" s="4"/>
      <c r="D4" s="4"/>
      <c r="E4" s="4"/>
      <c r="F4" s="4"/>
      <c r="G4" s="4"/>
    </row>
    <row r="5" customFormat="false" ht="13.5" hidden="false" customHeight="true" outlineLevel="0" collapsed="false">
      <c r="A5" s="42" t="s">
        <v>81</v>
      </c>
      <c r="B5" s="42"/>
      <c r="C5" s="42"/>
      <c r="D5" s="43" t="s">
        <v>82</v>
      </c>
      <c r="E5" s="43"/>
      <c r="F5" s="43"/>
      <c r="G5" s="43"/>
    </row>
    <row r="6" customFormat="false" ht="27.75" hidden="false" customHeight="true" outlineLevel="0" collapsed="false">
      <c r="A6" s="44" t="n">
        <f aca="false">'📊 Análisis Financiero'!B33</f>
        <v>1999636821.25636</v>
      </c>
      <c r="B6" s="44"/>
      <c r="C6" s="44"/>
      <c r="D6" s="45" t="n">
        <f aca="false">'📊 Análisis Financiero'!B34</f>
        <v>7.08851057551006</v>
      </c>
      <c r="E6" s="45"/>
      <c r="F6" s="45"/>
      <c r="G6" s="45"/>
    </row>
    <row r="7" customFormat="false" ht="13.5" hidden="false" customHeight="true" outlineLevel="0" collapsed="false">
      <c r="A7" s="46"/>
      <c r="B7" s="46"/>
      <c r="C7" s="46"/>
      <c r="D7" s="47"/>
      <c r="E7" s="47"/>
      <c r="F7" s="47"/>
      <c r="G7" s="47"/>
    </row>
    <row r="8" customFormat="false" ht="6" hidden="false" customHeight="true" outlineLevel="0" collapsed="false"/>
    <row r="9" customFormat="false" ht="13.5" hidden="false" customHeight="true" outlineLevel="0" collapsed="false">
      <c r="A9" s="43" t="s">
        <v>83</v>
      </c>
      <c r="B9" s="43"/>
      <c r="C9" s="43"/>
      <c r="D9" s="42" t="s">
        <v>84</v>
      </c>
      <c r="E9" s="42"/>
      <c r="F9" s="42"/>
      <c r="G9" s="42"/>
    </row>
    <row r="10" customFormat="false" ht="27.75" hidden="false" customHeight="true" outlineLevel="0" collapsed="false">
      <c r="A10" s="48" t="n">
        <f aca="false">'📊 Análisis Financiero'!B35</f>
        <v>0.128555697055978</v>
      </c>
      <c r="B10" s="48"/>
      <c r="C10" s="48"/>
      <c r="D10" s="49" t="n">
        <f aca="false">'📊 Análisis Financiero'!B36</f>
        <v>25.7331125836412</v>
      </c>
      <c r="E10" s="49"/>
      <c r="F10" s="49"/>
      <c r="G10" s="49"/>
    </row>
    <row r="11" customFormat="false" ht="13.5" hidden="false" customHeight="true" outlineLevel="0" collapsed="false">
      <c r="A11" s="47"/>
      <c r="B11" s="47"/>
      <c r="C11" s="47"/>
      <c r="D11" s="46"/>
      <c r="E11" s="46"/>
      <c r="F11" s="46"/>
      <c r="G11" s="46"/>
    </row>
    <row r="12" customFormat="false" ht="6" hidden="false" customHeight="true" outlineLevel="0" collapsed="false"/>
    <row r="13" customFormat="false" ht="13.5" hidden="false" customHeight="true" outlineLevel="0" collapsed="false">
      <c r="A13" s="50" t="s">
        <v>85</v>
      </c>
      <c r="B13" s="50"/>
      <c r="C13" s="50"/>
      <c r="D13" s="42" t="s">
        <v>86</v>
      </c>
      <c r="E13" s="42"/>
      <c r="F13" s="42"/>
      <c r="G13" s="42"/>
    </row>
    <row r="14" customFormat="false" ht="27.75" hidden="false" customHeight="true" outlineLevel="0" collapsed="false">
      <c r="A14" s="51" t="n">
        <f aca="false">'📊 Análisis Financiero'!B21</f>
        <v>74800000</v>
      </c>
      <c r="B14" s="51"/>
      <c r="C14" s="51"/>
      <c r="D14" s="49" t="n">
        <f aca="false">'📊 Análisis Financiero'!B37</f>
        <v>1</v>
      </c>
      <c r="E14" s="49"/>
      <c r="F14" s="49"/>
      <c r="G14" s="49"/>
    </row>
    <row r="15" customFormat="false" ht="13.5" hidden="false" customHeight="true" outlineLevel="0" collapsed="false">
      <c r="A15" s="52"/>
      <c r="B15" s="52"/>
      <c r="C15" s="52"/>
      <c r="D15" s="46"/>
      <c r="E15" s="46"/>
      <c r="F15" s="46"/>
      <c r="G15" s="46"/>
    </row>
    <row r="16" customFormat="false" ht="6" hidden="false" customHeight="true" outlineLevel="0" collapsed="false"/>
    <row r="18" customFormat="false" ht="21.75" hidden="false" customHeight="true" outlineLevel="0" collapsed="false">
      <c r="A18" s="4" t="s">
        <v>87</v>
      </c>
      <c r="B18" s="4"/>
      <c r="C18" s="4"/>
      <c r="D18" s="4"/>
      <c r="E18" s="4"/>
      <c r="F18" s="4"/>
      <c r="G18" s="4"/>
    </row>
    <row r="19" customFormat="false" ht="15" hidden="false" customHeight="true" outlineLevel="0" collapsed="false">
      <c r="A19" s="20" t="s">
        <v>38</v>
      </c>
      <c r="B19" s="20" t="s">
        <v>39</v>
      </c>
      <c r="C19" s="20" t="s">
        <v>40</v>
      </c>
      <c r="D19" s="20" t="s">
        <v>41</v>
      </c>
      <c r="E19" s="20" t="s">
        <v>42</v>
      </c>
      <c r="F19" s="20" t="s">
        <v>43</v>
      </c>
      <c r="G19" s="20" t="s">
        <v>44</v>
      </c>
    </row>
    <row r="20" customFormat="false" ht="15" hidden="false" customHeight="true" outlineLevel="0" collapsed="false">
      <c r="A20" s="53" t="s">
        <v>88</v>
      </c>
      <c r="B20" s="54" t="n">
        <f aca="false">'📊 Análisis Financiero'!B25</f>
        <v>0</v>
      </c>
      <c r="C20" s="54" t="n">
        <f aca="false">'📊 Análisis Financiero'!C25</f>
        <v>810000000</v>
      </c>
      <c r="D20" s="54" t="n">
        <f aca="false">'📊 Análisis Financiero'!D25</f>
        <v>850500000</v>
      </c>
      <c r="E20" s="54" t="n">
        <f aca="false">'📊 Análisis Financiero'!E25</f>
        <v>893025000</v>
      </c>
      <c r="F20" s="54" t="n">
        <f aca="false">'📊 Análisis Financiero'!F25</f>
        <v>937676250</v>
      </c>
      <c r="G20" s="54" t="n">
        <f aca="false">'📊 Análisis Financiero'!G25</f>
        <v>984560062.5</v>
      </c>
    </row>
    <row r="21" customFormat="false" ht="15" hidden="false" customHeight="true" outlineLevel="0" collapsed="false">
      <c r="A21" s="55" t="s">
        <v>89</v>
      </c>
      <c r="B21" s="56" t="n">
        <f aca="false">'📊 Análisis Financiero'!B26</f>
        <v>0</v>
      </c>
      <c r="C21" s="56" t="n">
        <f aca="false">'📊 Análisis Financiero'!C26</f>
        <v>0</v>
      </c>
      <c r="D21" s="56" t="n">
        <f aca="false">'📊 Análisis Financiero'!D26</f>
        <v>0</v>
      </c>
      <c r="E21" s="56" t="n">
        <f aca="false">'📊 Análisis Financiero'!E26</f>
        <v>0</v>
      </c>
      <c r="F21" s="56" t="n">
        <f aca="false">'📊 Análisis Financiero'!F26</f>
        <v>0</v>
      </c>
      <c r="G21" s="56" t="n">
        <f aca="false">'📊 Análisis Financiero'!G26</f>
        <v>0</v>
      </c>
    </row>
    <row r="22" customFormat="false" ht="15" hidden="false" customHeight="true" outlineLevel="0" collapsed="false">
      <c r="A22" s="57" t="s">
        <v>49</v>
      </c>
      <c r="B22" s="58" t="n">
        <f aca="false">'📊 Análisis Financiero'!B28</f>
        <v>0</v>
      </c>
      <c r="C22" s="58" t="n">
        <f aca="false">'📊 Análisis Financiero'!C28</f>
        <v>810000000</v>
      </c>
      <c r="D22" s="58" t="n">
        <f aca="false">'📊 Análisis Financiero'!D28</f>
        <v>850500000</v>
      </c>
      <c r="E22" s="58" t="n">
        <f aca="false">'📊 Análisis Financiero'!E28</f>
        <v>893025000</v>
      </c>
      <c r="F22" s="58" t="n">
        <f aca="false">'📊 Análisis Financiero'!F28</f>
        <v>937676250</v>
      </c>
      <c r="G22" s="58" t="n">
        <f aca="false">'📊 Análisis Financiero'!G28</f>
        <v>984560062.5</v>
      </c>
    </row>
    <row r="23" customFormat="false" ht="15" hidden="false" customHeight="true" outlineLevel="0" collapsed="false">
      <c r="A23" s="59" t="s">
        <v>90</v>
      </c>
      <c r="B23" s="30" t="n">
        <f aca="false">'📊 Análisis Financiero'!B30</f>
        <v>-74800000</v>
      </c>
      <c r="C23" s="30" t="n">
        <f aca="false">'📊 Análisis Financiero'!C30</f>
        <v>526500000</v>
      </c>
      <c r="D23" s="30" t="n">
        <f aca="false">'📊 Análisis Financiero'!D30</f>
        <v>552825000</v>
      </c>
      <c r="E23" s="30" t="n">
        <f aca="false">'📊 Análisis Financiero'!E30</f>
        <v>580466250</v>
      </c>
      <c r="F23" s="30" t="n">
        <f aca="false">'📊 Análisis Financiero'!F30</f>
        <v>609489562.5</v>
      </c>
      <c r="G23" s="30" t="n">
        <f aca="false">'📊 Análisis Financiero'!G30</f>
        <v>639964040.625</v>
      </c>
    </row>
    <row r="48" customFormat="false" ht="21.75" hidden="false" customHeight="true" outlineLevel="0" collapsed="false">
      <c r="A48" s="4" t="s">
        <v>91</v>
      </c>
      <c r="B48" s="4"/>
      <c r="C48" s="4"/>
      <c r="D48" s="4"/>
      <c r="E48" s="4"/>
      <c r="F48" s="4"/>
      <c r="G48" s="4"/>
    </row>
    <row r="49" customFormat="false" ht="15" hidden="false" customHeight="true" outlineLevel="0" collapsed="false">
      <c r="A49" s="20" t="s">
        <v>92</v>
      </c>
      <c r="B49" s="20" t="s">
        <v>93</v>
      </c>
      <c r="C49" s="20"/>
      <c r="D49" s="20" t="s">
        <v>94</v>
      </c>
      <c r="E49" s="20"/>
      <c r="F49" s="20" t="s">
        <v>95</v>
      </c>
      <c r="G49" s="20"/>
    </row>
    <row r="50" customFormat="false" ht="15" hidden="false" customHeight="true" outlineLevel="0" collapsed="false">
      <c r="A50" s="21" t="s">
        <v>96</v>
      </c>
      <c r="B50" s="60" t="s">
        <v>97</v>
      </c>
      <c r="C50" s="60"/>
      <c r="D50" s="61" t="s">
        <v>98</v>
      </c>
      <c r="E50" s="61"/>
      <c r="F50" s="62" t="s">
        <v>99</v>
      </c>
      <c r="G50" s="62"/>
    </row>
    <row r="51" customFormat="false" ht="15" hidden="false" customHeight="true" outlineLevel="0" collapsed="false">
      <c r="A51" s="24" t="s">
        <v>100</v>
      </c>
      <c r="B51" s="60" t="s">
        <v>101</v>
      </c>
      <c r="C51" s="60"/>
      <c r="D51" s="61" t="s">
        <v>102</v>
      </c>
      <c r="E51" s="61"/>
      <c r="F51" s="62" t="s">
        <v>103</v>
      </c>
      <c r="G51" s="62"/>
    </row>
    <row r="52" customFormat="false" ht="15" hidden="false" customHeight="true" outlineLevel="0" collapsed="false">
      <c r="A52" s="21" t="s">
        <v>104</v>
      </c>
      <c r="B52" s="60" t="s">
        <v>105</v>
      </c>
      <c r="C52" s="60"/>
      <c r="D52" s="61" t="s">
        <v>106</v>
      </c>
      <c r="E52" s="61"/>
      <c r="F52" s="62" t="s">
        <v>107</v>
      </c>
      <c r="G52" s="62"/>
    </row>
    <row r="53" customFormat="false" ht="15" hidden="false" customHeight="true" outlineLevel="0" collapsed="false">
      <c r="A53" s="24" t="s">
        <v>108</v>
      </c>
      <c r="B53" s="60" t="s">
        <v>109</v>
      </c>
      <c r="C53" s="60"/>
      <c r="D53" s="61" t="s">
        <v>110</v>
      </c>
      <c r="E53" s="61"/>
      <c r="F53" s="62" t="s">
        <v>111</v>
      </c>
      <c r="G53" s="62"/>
    </row>
    <row r="54" customFormat="false" ht="15" hidden="false" customHeight="true" outlineLevel="0" collapsed="false">
      <c r="A54" s="21" t="s">
        <v>112</v>
      </c>
      <c r="B54" s="60" t="s">
        <v>113</v>
      </c>
      <c r="C54" s="60"/>
      <c r="D54" s="61" t="s">
        <v>114</v>
      </c>
      <c r="E54" s="61"/>
      <c r="F54" s="62" t="s">
        <v>115</v>
      </c>
      <c r="G54" s="62"/>
    </row>
    <row r="56" customFormat="false" ht="15" hidden="false" customHeight="true" outlineLevel="0" collapsed="false">
      <c r="A56" s="41" t="s">
        <v>116</v>
      </c>
      <c r="B56" s="41"/>
      <c r="C56" s="41"/>
      <c r="D56" s="41"/>
      <c r="E56" s="41"/>
      <c r="F56" s="41"/>
      <c r="G56" s="41"/>
    </row>
  </sheetData>
  <mergeCells count="42">
    <mergeCell ref="A1:G1"/>
    <mergeCell ref="A2:G2"/>
    <mergeCell ref="A4:G4"/>
    <mergeCell ref="A5:C5"/>
    <mergeCell ref="D5:G5"/>
    <mergeCell ref="A6:C6"/>
    <mergeCell ref="D6:G6"/>
    <mergeCell ref="A7:C7"/>
    <mergeCell ref="D7:G7"/>
    <mergeCell ref="A9:C9"/>
    <mergeCell ref="D9:G9"/>
    <mergeCell ref="A10:C10"/>
    <mergeCell ref="D10:G10"/>
    <mergeCell ref="A11:C11"/>
    <mergeCell ref="D11:G11"/>
    <mergeCell ref="A13:C13"/>
    <mergeCell ref="D13:G13"/>
    <mergeCell ref="A14:C14"/>
    <mergeCell ref="D14:G14"/>
    <mergeCell ref="A15:C15"/>
    <mergeCell ref="D15:G15"/>
    <mergeCell ref="A18:G18"/>
    <mergeCell ref="A48:G48"/>
    <mergeCell ref="B49:C49"/>
    <mergeCell ref="D49:E49"/>
    <mergeCell ref="F49:G49"/>
    <mergeCell ref="B50:C50"/>
    <mergeCell ref="D50:E50"/>
    <mergeCell ref="F50:G50"/>
    <mergeCell ref="B51:C51"/>
    <mergeCell ref="D51:E51"/>
    <mergeCell ref="F51:G51"/>
    <mergeCell ref="B52:C52"/>
    <mergeCell ref="D52:E52"/>
    <mergeCell ref="F52:G52"/>
    <mergeCell ref="B53:C53"/>
    <mergeCell ref="D53:E53"/>
    <mergeCell ref="F53:G53"/>
    <mergeCell ref="B54:C54"/>
    <mergeCell ref="D54:E54"/>
    <mergeCell ref="F54:G54"/>
    <mergeCell ref="A56:G5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2026-05-24T19:32:32Z</dcterms:created>
  <dc:creator>openpyxl</dc:creator>
  <dc:description/>
  <dc:language>en-US</dc:language>
  <cp:lastModifiedBy/>
  <dcterms:modified xsi:type="dcterms:W3CDTF">2026-05-24T19:33:51Z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